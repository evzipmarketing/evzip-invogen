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Ride Details(Historical) - Nov " sheetId="1" r:id="rId1"/>
  </sheets>
  <definedNames>
    <definedName name="_xlnm._FilterDatabase" localSheetId="0" hidden="1">'Ride Details(Historical) - Nov '!$A$1:$J$6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<sst xmlns="http://schemas.openxmlformats.org/spreadsheetml/2006/main" count="44" uniqueCount="42">
  <si>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Invoice</t>
  </si>
  <si>
    <t>request_made_at</t>
  </si>
  <si>
    <t>ride_id</t>
  </si>
  <si>
    <t>user_id</t>
  </si>
  <si>
    <t>user_name</t>
  </si>
  <si>
    <t>vehicle_no</t>
  </si>
  <si>
    <t>driver_name</t>
  </si>
  <si>
    <t>pickup_address</t>
  </si>
  <si>
    <t>drop_address</t>
  </si>
  <si>
    <t>net_fare</t>
  </si>
  <si>
    <t>CGST</t>
  </si>
  <si>
    <t>SGST</t>
  </si>
  <si>
    <t>total</t>
  </si>
  <si>
    <t>total_payable</t>
  </si>
  <si>
    <t>EZ25112001</t>
  </si>
  <si>
    <t>User</t>
  </si>
  <si>
    <t>TG08T1433</t>
  </si>
  <si>
    <t>A Santhosh</t>
  </si>
  <si>
    <t>9FQH+786, Hanuman Tekdi Rd, Koti, Hyderabad</t>
  </si>
  <si>
    <t>S.D Road, near Sangeet Theatre, Regimental Bazaar, Shivaji Nagar, Secunderabad, Telangana 500003, In</t>
  </si>
  <si>
    <t>EZ25112002</t>
  </si>
  <si>
    <t>Veena K.v.s</t>
  </si>
  <si>
    <t>TG08T1427</t>
  </si>
  <si>
    <t>Shaik Sohail Uddin</t>
  </si>
  <si>
    <t>Balaji Nagar Main Road</t>
  </si>
  <si>
    <t>shabe nagar gravyard, Hyderabad</t>
  </si>
  <si>
    <t>EZ25112003</t>
  </si>
  <si>
    <t>TG08T1473</t>
  </si>
  <si>
    <t>CHINNA MADHAVA REDDY</t>
  </si>
  <si>
    <t>Voltana Complex,  Kushaiguda Road, North Kamala Nagar, Secunderabad, Medchal-Malkajgiri, Telangana</t>
  </si>
  <si>
    <t>6CQM+R3 Hyderabad</t>
  </si>
  <si>
    <t>EZ25112004</t>
  </si>
  <si>
    <t>Jayasree Chevendra</t>
  </si>
  <si>
    <t>TG08T1519</t>
  </si>
  <si>
    <t>RajaGopal Palleboyina</t>
  </si>
  <si>
    <t>CRPF, Secunderabad, Medchal-Malkajgiri, Telangana</t>
  </si>
  <si>
    <t>Mahankali Temple, Golf Pride Homes, Yapral, Secunderabad, Telangana, India</t>
  </si>
  <si>
    <t>EZ25112005</t>
  </si>
  <si>
    <t>TG08T1521</t>
  </si>
  <si>
    <t>Boddu Suresh</t>
  </si>
  <si>
    <t>FG45+M3H, R K Nagar, West Marredpally, Secunderabad</t>
  </si>
  <si>
    <t>154 Lane 34, Hyderabad, Telangana, India,Hyderabad,  Telangana,  India,Home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</si>
</sst>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178" fontId="0" fillId="0" borderId="0" xfId="0" applyNumberFormat="1" applyFill="1" applyAlignment="1"/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zoomScaleSheetLayoutView="60" workbookViewId="0">
      <selection activeCell="B5" sqref="B5"/>
    </sheetView>
  </sheetViews>
  <sheetFormatPr defaultColWidth="11.7142857142857" defaultRowHeight="15" outlineLevelRow="6"/>
  <cols>
    <col min="1" max="1" width="11.7142857142857" customWidth="1"/>
    <col min="2" max="2" width="18" customWidth="1"/>
    <col min="3" max="7" width="11.7142857142857" customWidth="1"/>
    <col min="8" max="8" width="103.714285714286" customWidth="1"/>
    <col min="9" max="9" width="101.714285714286" customWidth="1"/>
    <col min="10" max="16384" width="11.714285714285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</row>
    <row r="2" spans="1:14">
      <c r="A2" s="1" t="s">
        <v>14</v>
      </c>
      <c r="B2" s="2">
        <v>45962.0048611111</v>
      </c>
      <c r="C2" s="1">
        <v>100973065</v>
      </c>
      <c r="D2" s="1">
        <v>16562484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264</v>
      </c>
      <c r="K2">
        <f>J2*2.5%</f>
        <v>6.6</v>
      </c>
      <c r="L2" s="1">
        <f>K2</f>
        <v>6.6</v>
      </c>
      <c r="M2" s="1">
        <f>J2+K2+L2</f>
        <v>277.2</v>
      </c>
      <c r="N2">
        <f>ROUND(M2,0)</f>
        <v>277</v>
      </c>
    </row>
    <row r="3" spans="1:15">
      <c r="A3" s="1" t="s">
        <v>20</v>
      </c>
      <c r="B3" s="2">
        <v>45963.0055555556</v>
      </c>
      <c r="C3" s="1">
        <v>607257564</v>
      </c>
      <c r="D3" s="1">
        <v>16395905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548</v>
      </c>
      <c r="K3">
        <f>J3*2.5%</f>
        <v>13.7</v>
      </c>
      <c r="L3" s="1">
        <f>K3</f>
        <v>13.7</v>
      </c>
      <c r="M3" s="1">
        <f>J3+K3+L3</f>
        <v>575.4</v>
      </c>
      <c r="N3">
        <f>ROUND(M3,0)</f>
        <v>575</v>
      </c>
      <c r="O3" s="1"/>
    </row>
    <row r="4" spans="1:15">
      <c r="A4" s="1" t="s">
        <v>26</v>
      </c>
      <c r="B4" s="2">
        <v>45964.0069444444</v>
      </c>
      <c r="C4" s="1">
        <v>110145478</v>
      </c>
      <c r="D4" s="1">
        <v>16998411</v>
      </c>
      <c r="E4" s="1" t="s">
        <v>15</v>
      </c>
      <c r="F4" s="1" t="s">
        <v>27</v>
      </c>
      <c r="G4" s="1" t="s">
        <v>28</v>
      </c>
      <c r="H4" s="1" t="s">
        <v>29</v>
      </c>
      <c r="I4" s="4" t="s">
        <v>30</v>
      </c>
      <c r="J4" s="1">
        <v>564</v>
      </c>
      <c r="K4">
        <f>J4*2.5%</f>
        <v>14.1</v>
      </c>
      <c r="L4" s="1">
        <f>K4</f>
        <v>14.1</v>
      </c>
      <c r="M4" s="1">
        <f>J4+K4+L4</f>
        <v>592.2</v>
      </c>
      <c r="N4">
        <f>ROUND(M4,0)</f>
        <v>592</v>
      </c>
      <c r="O4" s="4"/>
    </row>
    <row r="5" spans="1:15">
      <c r="A5" s="1" t="s">
        <v>31</v>
      </c>
      <c r="B5" s="2">
        <v>45965.0076388889</v>
      </c>
      <c r="C5" s="1">
        <v>129958923</v>
      </c>
      <c r="D5" s="1">
        <v>17112142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262</v>
      </c>
      <c r="K5">
        <f>J5*2.5%</f>
        <v>6.55</v>
      </c>
      <c r="L5" s="1">
        <f>K5</f>
        <v>6.55</v>
      </c>
      <c r="M5" s="1">
        <f>J5+K5+L5</f>
        <v>275.1</v>
      </c>
      <c r="N5">
        <f>ROUND(M5,0)</f>
        <v>275</v>
      </c>
      <c r="O5" s="1"/>
    </row>
    <row r="6" spans="1:15">
      <c r="A6" s="1" t="s">
        <v>37</v>
      </c>
      <c r="B6" s="2">
        <v>45966.0083333333</v>
      </c>
      <c r="C6" s="1">
        <v>689804461</v>
      </c>
      <c r="D6" s="1">
        <v>16564987</v>
      </c>
      <c r="E6" s="1" t="s">
        <v>15</v>
      </c>
      <c r="F6" s="1" t="s">
        <v>38</v>
      </c>
      <c r="G6" s="1" t="s">
        <v>39</v>
      </c>
      <c r="H6" s="1" t="s">
        <v>40</v>
      </c>
      <c r="I6" s="1" t="s">
        <v>41</v>
      </c>
      <c r="J6" s="1">
        <v>171</v>
      </c>
      <c r="K6">
        <f>J6*2.5%</f>
        <v>4.275</v>
      </c>
      <c r="L6" s="1">
        <f>K6</f>
        <v>4.275</v>
      </c>
      <c r="M6" s="1">
        <f>J6+K6+L6</f>
        <v>179.55</v>
      </c>
      <c r="N6">
        <f>ROUND(M6,0)</f>
        <v>180</v>
      </c>
      <c r="O6" s="1"/>
    </row>
    <row r="7" spans="14:14">
      <c r="N7" s="1"/>
    </row>
  </sheetData>
  <autoFilter xmlns:etc="http://www.wps.cn/officeDocument/2017/etCustomData" ref="A1:J6" etc:filterBottomFollowUsedRange="0">
    <extLst/>
  </autoFilter>
  <sortState ref="A2:K362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Ride Details(Historical) - Nov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upendra sharma</cp:lastModifiedBy>
  <dcterms:created xsi:type="dcterms:W3CDTF">2025-12-09T12:43:00Z</dcterms:created>
  <dcterms:modified xsi:type="dcterms:W3CDTF">2026-02-04T11:27:45Z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585DDE03BA5E472484A87A6BF12DF8F1_13</vt:lpwstr>
  </property>
  <property fmtid="{D5CDD505-2E9C-101B-9397-08002B2CF9AE}" pid="3" name="KSOProductBuildVer">
    <vt:lpwstr>1033-12.2.0.23196</vt:lpwstr>
  </property>
</Properties>
</file>